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kool\College_Things\4Senior\Fall 2025\Power Electronics\Project\"/>
    </mc:Choice>
  </mc:AlternateContent>
  <xr:revisionPtr revIDLastSave="0" documentId="13_ncr:1_{B8FB76B4-916A-4780-9E64-42B5BFC2BE97}" xr6:coauthVersionLast="47" xr6:coauthVersionMax="47" xr10:uidLastSave="{00000000-0000-0000-0000-000000000000}"/>
  <bookViews>
    <workbookView xWindow="-108" yWindow="-108" windowWidth="23256" windowHeight="13176" xr2:uid="{D15A7080-2A8E-4ABE-8DD1-2E64BE59F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D20" i="1"/>
  <c r="B20" i="1"/>
</calcChain>
</file>

<file path=xl/sharedStrings.xml><?xml version="1.0" encoding="utf-8"?>
<sst xmlns="http://schemas.openxmlformats.org/spreadsheetml/2006/main" count="31" uniqueCount="27">
  <si>
    <t>Design 1</t>
  </si>
  <si>
    <t>Design 2</t>
  </si>
  <si>
    <t>Design 3 (400 Hz)</t>
  </si>
  <si>
    <t>Diode Part #</t>
  </si>
  <si>
    <t>Inductor Part #</t>
  </si>
  <si>
    <t>Capacitor Part #</t>
  </si>
  <si>
    <r>
      <t>Diode V</t>
    </r>
    <r>
      <rPr>
        <vertAlign val="subscript"/>
        <sz val="12"/>
        <color theme="1"/>
        <rFont val="Times New Roman"/>
        <family val="1"/>
      </rPr>
      <t>x</t>
    </r>
    <r>
      <rPr>
        <sz val="12"/>
        <color theme="1"/>
        <rFont val="Times New Roman"/>
        <family val="1"/>
      </rPr>
      <t xml:space="preserve"> (V)</t>
    </r>
  </si>
  <si>
    <r>
      <t>Diode r</t>
    </r>
    <r>
      <rPr>
        <vertAlign val="sub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 (</t>
    </r>
    <r>
      <rPr>
        <sz val="12"/>
        <color theme="1"/>
        <rFont val="Aptos Narrow"/>
        <family val="2"/>
      </rPr>
      <t>Ω</t>
    </r>
    <r>
      <rPr>
        <sz val="12"/>
        <color theme="1"/>
        <rFont val="Times New Roman"/>
        <family val="1"/>
      </rPr>
      <t>)</t>
    </r>
  </si>
  <si>
    <t>Diode Reverse Voltage Rating (V)</t>
  </si>
  <si>
    <t>Diode Average Current Rating (A)</t>
  </si>
  <si>
    <t>Diode Peak Current Rating (A)</t>
  </si>
  <si>
    <t>Inductance (H)</t>
  </si>
  <si>
    <t>Inductor DCR (Ω)</t>
  </si>
  <si>
    <t>Capacitor ESR (Ω)</t>
  </si>
  <si>
    <t>Inductor RMS Current Rating (A)</t>
  </si>
  <si>
    <t>Capacitance (F)</t>
  </si>
  <si>
    <t>Capacitor Voltage Rating (V)</t>
  </si>
  <si>
    <t>Capacitor RMS Current Rating (A)</t>
  </si>
  <si>
    <t>Total Component Cost ($)</t>
  </si>
  <si>
    <t>Diode Cost ($ total)</t>
  </si>
  <si>
    <t>Inductor Cost ($ total)</t>
  </si>
  <si>
    <t>Capacitor Cost ($ total)</t>
  </si>
  <si>
    <t>Digikey: 
399-13091-ND</t>
  </si>
  <si>
    <t>Digikey: 
SBR10U300CT-ND</t>
  </si>
  <si>
    <t>Digikey: HM4112-ND</t>
  </si>
  <si>
    <t>Digikey: 595-1878-ND</t>
  </si>
  <si>
    <t>399-ALS30A471DE350-ND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</si>
</sst>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11" fontId="1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8" fontId="1" fillId="2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0</xdr:row>
      <xdr:rowOff>317226</xdr:rowOff>
    </xdr:from>
    <xdr:to>
      <xdr:col>18</xdr:col>
      <xdr:colOff>332101</xdr:colOff>
      <xdr:row>11</xdr:row>
      <xdr:rowOff>219075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0E1726-B53C-478E-EF2F-085C6C025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317226"/>
          <a:ext cx="8247376" cy="3826149"/>
        </a:xfrm>
        <a:prstGeom prst="rect">
          <a:avLst/>
        </a:prstGeom>
      </xdr:spPr>
    </xdr:pic>
    <xdr:clientData/>
  </xdr:twoCellAnchor>
  <xdr:twoCellAnchor editAs="oneCell">
    <xdr:from>
      <xdr:col>5</xdr:col>
      <xdr:colOff>58793</xdr:colOff>
      <xdr:row>12</xdr:row>
      <xdr:rowOff>123825</xdr:rowOff>
    </xdr:from>
    <xdr:to>
      <xdr:col>18</xdr:col>
      <xdr:colOff>350483</xdr:colOff>
      <xdr:row>25</xdr:row>
      <xdr:rowOff>56174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6DF1C4-D3FB-82A5-0DB7-CC116ABF9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1168" y="4448175"/>
          <a:ext cx="8216490" cy="4123349"/>
        </a:xfrm>
        <a:prstGeom prst="rect">
          <a:avLst/>
        </a:prstGeom>
      </xdr:spPr>
    </xdr:pic>
    <xdr:clientData/>
  </xdr:twoCellAnchor>
  <xdr:twoCellAnchor editAs="oneCell">
    <xdr:from>
      <xdr:col>0</xdr:col>
      <xdr:colOff>205121</xdr:colOff>
      <xdr:row>25</xdr:row>
      <xdr:rowOff>171450</xdr:rowOff>
    </xdr:from>
    <xdr:to>
      <xdr:col>13</xdr:col>
      <xdr:colOff>340929</xdr:colOff>
      <xdr:row>49</xdr:row>
      <xdr:rowOff>170474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055121-EEF1-4BFD-B3EB-80746E563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121" y="8686800"/>
          <a:ext cx="8774983" cy="4342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8F78-2F99-4071-B028-78F904C7D39D}">
  <dimension ref="A1:E20"/>
  <sheetViews>
    <sheetView tabSelected="1" topLeftCell="A16" zoomScale="80" zoomScaleNormal="80" workbookViewId="0">
      <selection activeCell="W13" sqref="W13"/>
    </sheetView>
  </sheetViews>
  <sheetFormatPr defaultRowHeight="14.4" x14ac:dyDescent="0.3"/>
  <cols>
    <col min="1" max="1" width="18.21875" customWidth="1"/>
    <col min="2" max="2" width="9.44140625" bestFit="1" customWidth="1"/>
    <col min="3" max="4" width="9.21875" bestFit="1" customWidth="1"/>
  </cols>
  <sheetData>
    <row r="1" spans="1:5" ht="31.8" thickBot="1" x14ac:dyDescent="0.35">
      <c r="A1" s="2"/>
      <c r="B1" s="3" t="s">
        <v>0</v>
      </c>
      <c r="C1" s="3" t="s">
        <v>1</v>
      </c>
      <c r="D1" s="3" t="s">
        <v>2</v>
      </c>
    </row>
    <row r="2" spans="1:5" ht="40.200000000000003" thickBot="1" x14ac:dyDescent="0.35">
      <c r="A2" s="4" t="s">
        <v>3</v>
      </c>
      <c r="B2" s="10" t="s">
        <v>23</v>
      </c>
      <c r="C2" s="11" t="s">
        <v>23</v>
      </c>
      <c r="D2" s="11" t="s">
        <v>23</v>
      </c>
    </row>
    <row r="3" spans="1:5" ht="18.600000000000001" thickBot="1" x14ac:dyDescent="0.35">
      <c r="A3" s="4" t="s">
        <v>6</v>
      </c>
      <c r="B3" s="12">
        <v>0.64</v>
      </c>
      <c r="C3" s="1">
        <v>0.64</v>
      </c>
      <c r="D3" s="1">
        <v>0.64</v>
      </c>
      <c r="E3" s="5"/>
    </row>
    <row r="4" spans="1:5" ht="18.600000000000001" thickBot="1" x14ac:dyDescent="0.35">
      <c r="A4" s="4" t="s">
        <v>7</v>
      </c>
      <c r="B4" s="12">
        <v>2.222E-2</v>
      </c>
      <c r="C4" s="1">
        <v>2.222E-2</v>
      </c>
      <c r="D4" s="1">
        <v>2.222E-2</v>
      </c>
      <c r="E4" s="5"/>
    </row>
    <row r="5" spans="1:5" ht="31.8" thickBot="1" x14ac:dyDescent="0.35">
      <c r="A5" s="4" t="s">
        <v>8</v>
      </c>
      <c r="B5" s="12">
        <v>300</v>
      </c>
      <c r="C5" s="1">
        <v>300</v>
      </c>
      <c r="D5" s="1">
        <v>300</v>
      </c>
      <c r="E5" s="5"/>
    </row>
    <row r="6" spans="1:5" ht="31.8" thickBot="1" x14ac:dyDescent="0.35">
      <c r="A6" s="4" t="s">
        <v>9</v>
      </c>
      <c r="B6" s="13">
        <v>10</v>
      </c>
      <c r="C6" s="6">
        <v>10</v>
      </c>
      <c r="D6" s="6">
        <v>10</v>
      </c>
      <c r="E6" s="5"/>
    </row>
    <row r="7" spans="1:5" ht="31.8" thickBot="1" x14ac:dyDescent="0.35">
      <c r="A7" s="4" t="s">
        <v>10</v>
      </c>
      <c r="B7" s="12">
        <v>150</v>
      </c>
      <c r="C7" s="1">
        <v>150</v>
      </c>
      <c r="D7" s="1">
        <v>150</v>
      </c>
      <c r="E7" s="5"/>
    </row>
    <row r="8" spans="1:5" ht="31.8" thickBot="1" x14ac:dyDescent="0.35">
      <c r="A8" s="4" t="s">
        <v>19</v>
      </c>
      <c r="B8" s="13">
        <v>5.25</v>
      </c>
      <c r="C8" s="13">
        <v>5.25</v>
      </c>
      <c r="D8" s="13">
        <v>5.25</v>
      </c>
      <c r="E8" s="5"/>
    </row>
    <row r="9" spans="1:5" ht="40.200000000000003" thickBot="1" x14ac:dyDescent="0.35">
      <c r="A9" s="4" t="s">
        <v>4</v>
      </c>
      <c r="B9" s="8" t="s">
        <v>24</v>
      </c>
      <c r="C9" s="8" t="s">
        <v>25</v>
      </c>
      <c r="D9" s="8" t="s">
        <v>24</v>
      </c>
    </row>
    <row r="10" spans="1:5" ht="16.2" thickBot="1" x14ac:dyDescent="0.35">
      <c r="A10" s="4" t="s">
        <v>11</v>
      </c>
      <c r="B10" s="1">
        <v>2.8000000000000001E-2</v>
      </c>
      <c r="C10" s="1">
        <v>7.0000000000000007E-2</v>
      </c>
      <c r="D10" s="1">
        <v>2.8000000000000001E-2</v>
      </c>
      <c r="E10" s="5"/>
    </row>
    <row r="11" spans="1:5" ht="16.2" thickBot="1" x14ac:dyDescent="0.35">
      <c r="A11" s="4" t="s">
        <v>12</v>
      </c>
      <c r="B11" s="1">
        <v>0.43</v>
      </c>
      <c r="C11" s="1">
        <v>0.6</v>
      </c>
      <c r="D11" s="1">
        <v>0.43</v>
      </c>
      <c r="E11" s="5"/>
    </row>
    <row r="12" spans="1:5" ht="31.8" thickBot="1" x14ac:dyDescent="0.35">
      <c r="A12" s="4" t="s">
        <v>14</v>
      </c>
      <c r="B12" s="6">
        <v>3</v>
      </c>
      <c r="C12" s="6">
        <v>4</v>
      </c>
      <c r="D12" s="6">
        <v>3</v>
      </c>
      <c r="E12" s="5"/>
    </row>
    <row r="13" spans="1:5" ht="31.8" thickBot="1" x14ac:dyDescent="0.35">
      <c r="A13" s="4" t="s">
        <v>20</v>
      </c>
      <c r="B13" s="6">
        <v>29.44</v>
      </c>
      <c r="C13" s="6">
        <v>55.73</v>
      </c>
      <c r="D13" s="6">
        <v>29.44</v>
      </c>
      <c r="E13" s="5"/>
    </row>
    <row r="14" spans="1:5" ht="53.4" thickBot="1" x14ac:dyDescent="0.35">
      <c r="A14" s="4" t="s">
        <v>5</v>
      </c>
      <c r="B14" s="8" t="s">
        <v>26</v>
      </c>
      <c r="C14" s="8" t="s">
        <v>22</v>
      </c>
      <c r="D14" s="8" t="s">
        <v>22</v>
      </c>
    </row>
    <row r="15" spans="1:5" ht="16.2" thickBot="1" x14ac:dyDescent="0.35">
      <c r="A15" s="4" t="s">
        <v>15</v>
      </c>
      <c r="B15" s="7">
        <v>4.6999999999999999E-4</v>
      </c>
      <c r="C15" s="7">
        <v>4.6999999999999999E-4</v>
      </c>
      <c r="D15" s="7">
        <v>4.6999999999999999E-4</v>
      </c>
      <c r="E15" s="5"/>
    </row>
    <row r="16" spans="1:5" ht="31.8" thickBot="1" x14ac:dyDescent="0.35">
      <c r="A16" s="4" t="s">
        <v>13</v>
      </c>
      <c r="B16" s="1">
        <v>0.223</v>
      </c>
      <c r="C16" s="1">
        <v>0.26700000000000002</v>
      </c>
      <c r="D16" s="1">
        <v>0.26700000000000002</v>
      </c>
      <c r="E16" s="5"/>
    </row>
    <row r="17" spans="1:5" ht="31.8" thickBot="1" x14ac:dyDescent="0.35">
      <c r="A17" s="4" t="s">
        <v>16</v>
      </c>
      <c r="B17" s="1">
        <v>350</v>
      </c>
      <c r="C17" s="1">
        <v>400</v>
      </c>
      <c r="D17" s="1">
        <v>400</v>
      </c>
      <c r="E17" s="5"/>
    </row>
    <row r="18" spans="1:5" ht="31.8" thickBot="1" x14ac:dyDescent="0.35">
      <c r="A18" s="4" t="s">
        <v>17</v>
      </c>
      <c r="B18" s="6">
        <v>3.4</v>
      </c>
      <c r="C18" s="6">
        <v>3.5</v>
      </c>
      <c r="D18" s="6">
        <v>3.5</v>
      </c>
      <c r="E18" s="5"/>
    </row>
    <row r="19" spans="1:5" ht="31.8" thickBot="1" x14ac:dyDescent="0.35">
      <c r="A19" s="4" t="s">
        <v>21</v>
      </c>
      <c r="B19" s="6">
        <v>10.199999999999999</v>
      </c>
      <c r="C19" s="6">
        <v>11.5</v>
      </c>
      <c r="D19" s="6">
        <v>11.5</v>
      </c>
      <c r="E19" s="5"/>
    </row>
    <row r="20" spans="1:5" ht="31.8" thickBot="1" x14ac:dyDescent="0.35">
      <c r="A20" s="4" t="s">
        <v>18</v>
      </c>
      <c r="B20" s="9">
        <f>B8+B13+B19</f>
        <v>44.89</v>
      </c>
      <c r="C20" s="9">
        <f t="shared" ref="C20:D20" si="0">C8+C13+C19</f>
        <v>72.47999999999999</v>
      </c>
      <c r="D20" s="9">
        <f t="shared" si="0"/>
        <v>46.19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Gardner, Matthew C</dc:creator>
  <cp:lastModifiedBy>Mai, John</cp:lastModifiedBy>
  <dcterms:created xsi:type="dcterms:W3CDTF">2023-11-02T21:55:33Z</dcterms:created>
  <dcterms:modified xsi:type="dcterms:W3CDTF">2025-10-27T15:26:40Z</dcterms:modified>
</cp:coreProperties>
</file>